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s" sheetId="1" r:id="rId4"/>
    <sheet state="visible" name="Products" sheetId="2" r:id="rId5"/>
    <sheet state="visible" name="Sales" sheetId="3" r:id="rId6"/>
    <sheet state="visible" name="Date" sheetId="4" r:id="rId7"/>
    <sheet state="visible" name="Returns" sheetId="5" r:id="rId8"/>
    <sheet state="visible" name=" Model Guide" sheetId="6" r:id="rId9"/>
  </sheets>
  <definedNames/>
  <calcPr/>
  <extLst>
    <ext uri="GoogleSheetsCustomDataVersion2">
      <go:sheetsCustomData xmlns:go="http://customooxmlschemas.google.com/" r:id="rId10" roundtripDataChecksum="wLJK3qX+DwkP4+/Y/c0DC0Fp6IVCjpui5GRmjwbzQwA="/>
    </ext>
  </extLst>
</workbook>
</file>

<file path=xl/sharedStrings.xml><?xml version="1.0" encoding="utf-8"?>
<sst xmlns="http://schemas.openxmlformats.org/spreadsheetml/2006/main" count="490" uniqueCount="114">
  <si>
    <t>CustomerID</t>
  </si>
  <si>
    <t>CustomerName</t>
  </si>
  <si>
    <t>City</t>
  </si>
  <si>
    <t>Country</t>
  </si>
  <si>
    <t>Segment</t>
  </si>
  <si>
    <t>C001</t>
  </si>
  <si>
    <t>Alice Mokoena</t>
  </si>
  <si>
    <t>Johannesburg</t>
  </si>
  <si>
    <t>ZA</t>
  </si>
  <si>
    <t>Retail</t>
  </si>
  <si>
    <t>C002</t>
  </si>
  <si>
    <t>Brian Dlamini</t>
  </si>
  <si>
    <t>Cape Town</t>
  </si>
  <si>
    <t>C003</t>
  </si>
  <si>
    <t>Carol Nkosi</t>
  </si>
  <si>
    <t>Durban</t>
  </si>
  <si>
    <t>Wholesale</t>
  </si>
  <si>
    <t>C004</t>
  </si>
  <si>
    <t>David Sithole</t>
  </si>
  <si>
    <t>Pretoria</t>
  </si>
  <si>
    <t>ProductID</t>
  </si>
  <si>
    <t>ProductName</t>
  </si>
  <si>
    <t>Category</t>
  </si>
  <si>
    <t>SubCategory</t>
  </si>
  <si>
    <t>UnitPrice (R)</t>
  </si>
  <si>
    <t>P001</t>
  </si>
  <si>
    <t>Wireless Mouse</t>
  </si>
  <si>
    <t>Electronics</t>
  </si>
  <si>
    <t>Peripherals</t>
  </si>
  <si>
    <t>P002</t>
  </si>
  <si>
    <t>Desk Lamp</t>
  </si>
  <si>
    <t>Furniture</t>
  </si>
  <si>
    <t>Lighting</t>
  </si>
  <si>
    <t>P003</t>
  </si>
  <si>
    <t>Notebook A5</t>
  </si>
  <si>
    <t>Stationery</t>
  </si>
  <si>
    <t>Notebooks</t>
  </si>
  <si>
    <t>P004</t>
  </si>
  <si>
    <t>USB-C Hub</t>
  </si>
  <si>
    <t>OrderID</t>
  </si>
  <si>
    <t>OrderDate</t>
  </si>
  <si>
    <t>ShipDate</t>
  </si>
  <si>
    <t>Quantity</t>
  </si>
  <si>
    <t>TotalAmount (R)</t>
  </si>
  <si>
    <t>O001</t>
  </si>
  <si>
    <t>O002</t>
  </si>
  <si>
    <t>O003</t>
  </si>
  <si>
    <t>O004</t>
  </si>
  <si>
    <t>O005</t>
  </si>
  <si>
    <t>DateKey</t>
  </si>
  <si>
    <t>Year</t>
  </si>
  <si>
    <t>Month</t>
  </si>
  <si>
    <t>MonthName</t>
  </si>
  <si>
    <t>Quarter</t>
  </si>
  <si>
    <t>DayOfWeek</t>
  </si>
  <si>
    <t>IsWeekend</t>
  </si>
  <si>
    <t>January</t>
  </si>
  <si>
    <t>Q1</t>
  </si>
  <si>
    <t>Monday</t>
  </si>
  <si>
    <t>No</t>
  </si>
  <si>
    <t>Tuesday</t>
  </si>
  <si>
    <t>Wednesday</t>
  </si>
  <si>
    <t>Thursday</t>
  </si>
  <si>
    <t>Friday</t>
  </si>
  <si>
    <t>Saturday</t>
  </si>
  <si>
    <t>Yes</t>
  </si>
  <si>
    <t>Sunday</t>
  </si>
  <si>
    <t>February</t>
  </si>
  <si>
    <t>March</t>
  </si>
  <si>
    <t>ReturnID</t>
  </si>
  <si>
    <t>ReturnDate</t>
  </si>
  <si>
    <t>Reason</t>
  </si>
  <si>
    <t>RefundAmount (R)</t>
  </si>
  <si>
    <t>R001</t>
  </si>
  <si>
    <t>Wrong item sent</t>
  </si>
  <si>
    <t>R002</t>
  </si>
  <si>
    <t>Damaged goods</t>
  </si>
  <si>
    <t>ShopEase Data Model</t>
  </si>
  <si>
    <t>Power BI Practical Dataset — Article Companion</t>
  </si>
  <si>
    <t>TABLE</t>
  </si>
  <si>
    <t>PURPOSE &amp; NOTES</t>
  </si>
  <si>
    <t>Customers</t>
  </si>
  <si>
    <t>Dimension table. Primary key: CustomerID. 4 unique customers.</t>
  </si>
  <si>
    <t>Products</t>
  </si>
  <si>
    <t>Dimension table. Primary key: ProductID. 4 unique products.</t>
  </si>
  <si>
    <t>Sales</t>
  </si>
  <si>
    <t>FACT table. Grain: one row per order line. Contains OrderDate &amp; ShipDate (for role-playing dimension practice).</t>
  </si>
  <si>
    <t>Date</t>
  </si>
  <si>
    <t>Date dimension. Covers Jan–Mar 2024. Connect to Sales[OrderDate] (active) and Sales[ShipDate] (inactive).</t>
  </si>
  <si>
    <t>Returns</t>
  </si>
  <si>
    <t>Supplementary fact/dimension. Links back to Sales via OrderID.</t>
  </si>
  <si>
    <t>RELATIONSHIPS TO BUILD IN POWER BI</t>
  </si>
  <si>
    <t>Customers[CustomerID] → Sales[CustomerID]</t>
  </si>
  <si>
    <t>1:Many | Single filter direction | Active</t>
  </si>
  <si>
    <t>Products[ProductID]  → Sales[ProductID]</t>
  </si>
  <si>
    <t>Date[DateKey]        → Sales[OrderDate]</t>
  </si>
  <si>
    <t>1:Many | Single filter direction | ACTIVE (primary)</t>
  </si>
  <si>
    <t>Date[DateKey]        → Sales[ShipDate]</t>
  </si>
  <si>
    <t>1:Many | Single filter direction | INACTIVE (use USERELATIONSHIP in DAX)</t>
  </si>
  <si>
    <t>Sales[OrderID]       → Returns[OrderID]</t>
  </si>
  <si>
    <t>KEY DAX MEASURE TO TRY</t>
  </si>
  <si>
    <t>Revenue by Ship Date =</t>
  </si>
  <si>
    <t>CALCULATE(SUM(Sales[TotalAmount (R)]), USERELATIONSHIP(Date[DateKey], Sales[ShipDate]))</t>
  </si>
  <si>
    <t>JOINS TO PRACTICE IN POWER QUERY</t>
  </si>
  <si>
    <t>INNER JOIN</t>
  </si>
  <si>
    <t>Merge Sales + Customers on CustomerID → Inner → Only matched rows</t>
  </si>
  <si>
    <t>LEFT OUTER JOIN</t>
  </si>
  <si>
    <t>Merge Customers + Sales on CustomerID → Left Outer → All customers incl. David (no orders)</t>
  </si>
  <si>
    <t>LEFT ANTI JOIN</t>
  </si>
  <si>
    <t>Merge Customers + Sales on CustomerID → Left Anti → Only David (never ordered)</t>
  </si>
  <si>
    <t>RIGHT ANTI JOIN</t>
  </si>
  <si>
    <t>Merge Customers + Sales on CustomerID → Right Anti → Any orders with no customer (data quality check)</t>
  </si>
  <si>
    <t>FULL OUTER JOIN</t>
  </si>
  <si>
    <t>Merge Customers + Sales on CustomerID → Full Outer → Complete picture of both tables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</si>
</sst>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9">
    <font>
      <sz val="11.0"/>
      <color theme="1"/>
      <name val="Calibri"/>
      <scheme val="minor"/>
    </font>
    <font>
      <b/>
      <sz val="10.0"/>
      <color rgb="FFF0A500"/>
      <name val="Arial"/>
    </font>
    <font>
      <sz val="10.0"/>
      <color theme="1"/>
      <name val="Arial"/>
    </font>
    <font>
      <b/>
      <sz val="10.0"/>
      <color theme="1"/>
      <name val="Arial"/>
    </font>
    <font>
      <sz val="11.0"/>
      <color theme="1"/>
      <name val="Calibri"/>
    </font>
    <font>
      <b/>
      <sz val="14.0"/>
      <color rgb="FF1B2A4A"/>
      <name val="Arial"/>
    </font>
    <font>
      <i/>
      <sz val="11.0"/>
      <color rgb="FF555555"/>
      <name val="Arial"/>
    </font>
    <font>
      <b/>
      <sz val="10.0"/>
      <color rgb="FFFFFFFF"/>
      <name val="Arial"/>
    </font>
    <font>
      <sz val="10.0"/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B2A4A"/>
        <bgColor rgb="FF1B2A4A"/>
      </patternFill>
    </fill>
    <fill>
      <patternFill patternType="solid">
        <fgColor rgb="FFF4F6FA"/>
        <bgColor rgb="FFF4F6FA"/>
      </patternFill>
    </fill>
    <fill>
      <patternFill patternType="solid">
        <fgColor rgb="FFFFFFFF"/>
        <bgColor rgb="FFFFFFFF"/>
      </patternFill>
    </fill>
    <fill>
      <patternFill patternType="solid">
        <fgColor rgb="FFD0D7E3"/>
        <bgColor rgb="FFD0D7E3"/>
      </patternFill>
    </fill>
    <fill>
      <patternFill patternType="solid">
        <fgColor rgb="FF8B1A1A"/>
        <bgColor rgb="FF8B1A1A"/>
      </patternFill>
    </fill>
  </fills>
  <borders count="2">
    <border/>
    <border>
      <left style="thin">
        <color rgb="FFD0D7E3"/>
      </left>
      <right style="thin">
        <color rgb="FFD0D7E3"/>
      </right>
      <top style="thin">
        <color rgb="FFD0D7E3"/>
      </top>
      <bottom style="thin">
        <color rgb="FFD0D7E3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vertical="center"/>
    </xf>
    <xf borderId="1" fillId="3" fontId="2" numFmtId="0" xfId="0" applyAlignment="1" applyBorder="1" applyFont="1">
      <alignment horizontal="left"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horizontal="left" vertical="center"/>
    </xf>
    <xf borderId="1" fillId="3" fontId="2" numFmtId="4" xfId="0" applyAlignment="1" applyBorder="1" applyFont="1" applyNumberFormat="1">
      <alignment horizontal="right" vertical="center"/>
    </xf>
    <xf borderId="1" fillId="4" fontId="2" numFmtId="4" xfId="0" applyAlignment="1" applyBorder="1" applyFont="1" applyNumberFormat="1">
      <alignment horizontal="right" vertical="center"/>
    </xf>
    <xf borderId="0" fillId="0" fontId="3" numFmtId="0" xfId="0" applyAlignment="1" applyFont="1">
      <alignment horizontal="center" readingOrder="0" shrinkToFit="0" vertical="center" wrapText="1"/>
    </xf>
    <xf borderId="1" fillId="3" fontId="2" numFmtId="0" xfId="0" applyAlignment="1" applyBorder="1" applyFont="1">
      <alignment horizontal="center" shrinkToFit="0" vertical="center" wrapText="0"/>
    </xf>
    <xf borderId="1" fillId="3" fontId="2" numFmtId="0" xfId="0" applyAlignment="1" applyBorder="1" applyFont="1">
      <alignment horizontal="left" shrinkToFit="0" vertical="center" wrapText="0"/>
    </xf>
    <xf borderId="1" fillId="3" fontId="2" numFmtId="164" xfId="0" applyAlignment="1" applyBorder="1" applyFont="1" applyNumberFormat="1">
      <alignment shrinkToFit="0" vertical="center" wrapText="0"/>
    </xf>
    <xf borderId="1" fillId="3" fontId="2" numFmtId="0" xfId="0" applyAlignment="1" applyBorder="1" applyFont="1">
      <alignment horizontal="right" shrinkToFit="0" vertical="center" wrapText="0"/>
    </xf>
    <xf borderId="1" fillId="3" fontId="2" numFmtId="4" xfId="0" applyAlignment="1" applyBorder="1" applyFont="1" applyNumberFormat="1">
      <alignment shrinkToFit="0" vertical="center" wrapText="0"/>
    </xf>
    <xf borderId="1" fillId="4" fontId="2" numFmtId="0" xfId="0" applyAlignment="1" applyBorder="1" applyFont="1">
      <alignment horizontal="center" shrinkToFit="0" vertical="center" wrapText="0"/>
    </xf>
    <xf borderId="1" fillId="4" fontId="2" numFmtId="0" xfId="0" applyAlignment="1" applyBorder="1" applyFont="1">
      <alignment horizontal="left" shrinkToFit="0" vertical="center" wrapText="0"/>
    </xf>
    <xf borderId="1" fillId="4" fontId="2" numFmtId="164" xfId="0" applyAlignment="1" applyBorder="1" applyFont="1" applyNumberFormat="1">
      <alignment shrinkToFit="0" vertical="center" wrapText="0"/>
    </xf>
    <xf borderId="1" fillId="4" fontId="2" numFmtId="0" xfId="0" applyAlignment="1" applyBorder="1" applyFont="1">
      <alignment horizontal="right" shrinkToFit="0" vertical="center" wrapText="0"/>
    </xf>
    <xf borderId="1" fillId="4" fontId="2" numFmtId="4" xfId="0" applyAlignment="1" applyBorder="1" applyFont="1" applyNumberFormat="1">
      <alignment shrinkToFit="0" vertical="center" wrapText="0"/>
    </xf>
    <xf borderId="1" fillId="5" fontId="4" numFmtId="0" xfId="0" applyAlignment="1" applyBorder="1" applyFill="1" applyFont="1">
      <alignment shrinkToFit="0" vertical="center" wrapText="0"/>
    </xf>
    <xf borderId="1" fillId="5" fontId="3" numFmtId="3" xfId="0" applyAlignment="1" applyBorder="1" applyFont="1" applyNumberFormat="1">
      <alignment horizontal="right" shrinkToFit="0" vertical="center" wrapText="0"/>
    </xf>
    <xf borderId="1" fillId="5" fontId="4" numFmtId="0" xfId="0" applyAlignment="1" applyBorder="1" applyFont="1">
      <alignment shrinkToFit="0" vertical="center" wrapText="0"/>
    </xf>
    <xf borderId="1" fillId="5" fontId="3" numFmtId="0" xfId="0" applyAlignment="1" applyBorder="1" applyFont="1">
      <alignment horizontal="right" shrinkToFit="0" vertical="center" wrapText="0"/>
    </xf>
    <xf borderId="1" fillId="3" fontId="2" numFmtId="164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right" vertical="center"/>
    </xf>
    <xf borderId="1" fillId="4" fontId="2" numFmtId="164" xfId="0" applyAlignment="1" applyBorder="1" applyFont="1" applyNumberFormat="1">
      <alignment horizontal="center" vertical="center"/>
    </xf>
    <xf borderId="1" fillId="4" fontId="2" numFmtId="0" xfId="0" applyAlignment="1" applyBorder="1" applyFont="1">
      <alignment horizontal="right" vertical="center"/>
    </xf>
    <xf borderId="1" fillId="6" fontId="1" numFmtId="0" xfId="0" applyAlignment="1" applyBorder="1" applyFill="1" applyFont="1">
      <alignment horizontal="center" shrinkToFit="0" vertical="center" wrapText="1"/>
    </xf>
    <xf borderId="1" fillId="3" fontId="2" numFmtId="164" xfId="0" applyAlignment="1" applyBorder="1" applyFont="1" applyNumberFormat="1">
      <alignment horizontal="left" vertical="center"/>
    </xf>
    <xf borderId="1" fillId="4" fontId="2" numFmtId="164" xfId="0" applyAlignment="1" applyBorder="1" applyFont="1" applyNumberFormat="1">
      <alignment horizontal="left" vertical="center"/>
    </xf>
    <xf borderId="0" fillId="0" fontId="5" numFmtId="0" xfId="0" applyFont="1"/>
    <xf borderId="0" fillId="0" fontId="6" numFmtId="0" xfId="0" applyFont="1"/>
    <xf borderId="1" fillId="2" fontId="7" numFmtId="0" xfId="0" applyAlignment="1" applyBorder="1" applyFont="1">
      <alignment vertical="center"/>
    </xf>
    <xf borderId="1" fillId="3" fontId="8" numFmtId="0" xfId="0" applyAlignment="1" applyBorder="1" applyFont="1">
      <alignment shrinkToFit="0" vertical="center" wrapText="1"/>
    </xf>
    <xf borderId="1" fillId="4" fontId="8" numFmtId="0" xfId="0" applyAlignment="1" applyBorder="1" applyFont="1">
      <alignment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5" pivot="0" name="Sales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A1:H7" displayName="Table1" name="Table1" id="1">
  <tableColumns count="8">
    <tableColumn name="OrderID" id="1"/>
    <tableColumn name="CustomerID" id="2"/>
    <tableColumn name="ProductID" id="3"/>
    <tableColumn name="OrderDate" id="4"/>
    <tableColumn name="ShipDate" id="5"/>
    <tableColumn totalsRowFunction="custom" name="Quantity" id="6"/>
    <tableColumn totalsRowFunction="custom" name="UnitPrice (R)" id="7"/>
    <tableColumn totalsRowFunction="custom" name="TotalAmount (R)" id="8"/>
  </tableColumns>
  <tableStyleInfo name="Sa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2A4A"/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0.0"/>
    <col customWidth="1" min="3" max="3" width="16.0"/>
    <col customWidth="1" min="4" max="4" width="10.0"/>
    <col customWidth="1" min="5" max="5" width="12.0"/>
    <col customWidth="1" min="6" max="26" width="8.71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8.0" customHeight="1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ht="18.0" customHeight="1">
      <c r="A3" s="4" t="s">
        <v>10</v>
      </c>
      <c r="B3" s="5" t="s">
        <v>11</v>
      </c>
      <c r="C3" s="5" t="s">
        <v>12</v>
      </c>
      <c r="D3" s="5" t="s">
        <v>8</v>
      </c>
      <c r="E3" s="5" t="s">
        <v>9</v>
      </c>
    </row>
    <row r="4" ht="18.0" customHeight="1">
      <c r="A4" s="2" t="s">
        <v>13</v>
      </c>
      <c r="B4" s="3" t="s">
        <v>14</v>
      </c>
      <c r="C4" s="3" t="s">
        <v>15</v>
      </c>
      <c r="D4" s="3" t="s">
        <v>8</v>
      </c>
      <c r="E4" s="3" t="s">
        <v>16</v>
      </c>
    </row>
    <row r="5" ht="18.0" customHeight="1">
      <c r="A5" s="4" t="s">
        <v>17</v>
      </c>
      <c r="B5" s="5" t="s">
        <v>18</v>
      </c>
      <c r="C5" s="5" t="s">
        <v>19</v>
      </c>
      <c r="D5" s="5" t="s">
        <v>8</v>
      </c>
      <c r="E5" s="5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2A4A"/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0.0"/>
    <col customWidth="1" min="3" max="3" width="14.0"/>
    <col customWidth="1" min="4" max="5" width="16.0"/>
    <col customWidth="1" min="6" max="26" width="8.71"/>
  </cols>
  <sheetData>
    <row r="1" ht="24.0" customHeight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ht="18.0" customHeight="1">
      <c r="A2" s="2" t="s">
        <v>25</v>
      </c>
      <c r="B2" s="3" t="s">
        <v>26</v>
      </c>
      <c r="C2" s="3" t="s">
        <v>27</v>
      </c>
      <c r="D2" s="3" t="s">
        <v>28</v>
      </c>
      <c r="E2" s="6">
        <v>350.0</v>
      </c>
    </row>
    <row r="3" ht="18.0" customHeight="1">
      <c r="A3" s="4" t="s">
        <v>29</v>
      </c>
      <c r="B3" s="5" t="s">
        <v>30</v>
      </c>
      <c r="C3" s="5" t="s">
        <v>31</v>
      </c>
      <c r="D3" s="5" t="s">
        <v>32</v>
      </c>
      <c r="E3" s="7">
        <v>220.0</v>
      </c>
    </row>
    <row r="4" ht="18.0" customHeight="1">
      <c r="A4" s="2" t="s">
        <v>33</v>
      </c>
      <c r="B4" s="3" t="s">
        <v>34</v>
      </c>
      <c r="C4" s="3" t="s">
        <v>35</v>
      </c>
      <c r="D4" s="3" t="s">
        <v>36</v>
      </c>
      <c r="E4" s="6">
        <v>45.0</v>
      </c>
    </row>
    <row r="5" ht="18.0" customHeight="1">
      <c r="A5" s="4" t="s">
        <v>37</v>
      </c>
      <c r="B5" s="5" t="s">
        <v>38</v>
      </c>
      <c r="C5" s="5" t="s">
        <v>27</v>
      </c>
      <c r="D5" s="5" t="s">
        <v>28</v>
      </c>
      <c r="E5" s="7">
        <v>580.0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D6A4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3.0"/>
    <col customWidth="1" min="3" max="3" width="12.0"/>
    <col customWidth="1" min="4" max="4" width="17.57"/>
    <col customWidth="1" min="5" max="5" width="17.14"/>
    <col customWidth="1" min="6" max="6" width="10.0"/>
    <col customWidth="1" min="7" max="7" width="18.43"/>
    <col customWidth="1" min="8" max="8" width="19.86"/>
    <col customWidth="1" min="9" max="26" width="8.71"/>
  </cols>
  <sheetData>
    <row r="1" ht="24.0" customHeight="1">
      <c r="A1" s="8" t="s">
        <v>39</v>
      </c>
      <c r="B1" s="8" t="s">
        <v>0</v>
      </c>
      <c r="C1" s="8" t="s">
        <v>20</v>
      </c>
      <c r="D1" s="8" t="s">
        <v>40</v>
      </c>
      <c r="E1" s="8" t="s">
        <v>41</v>
      </c>
      <c r="F1" s="8" t="s">
        <v>42</v>
      </c>
      <c r="G1" s="8" t="s">
        <v>24</v>
      </c>
      <c r="H1" s="8" t="s">
        <v>43</v>
      </c>
    </row>
    <row r="2" ht="18.0" customHeight="1">
      <c r="A2" s="9" t="s">
        <v>44</v>
      </c>
      <c r="B2" s="10" t="s">
        <v>5</v>
      </c>
      <c r="C2" s="10" t="s">
        <v>25</v>
      </c>
      <c r="D2" s="11">
        <v>45296.0</v>
      </c>
      <c r="E2" s="11">
        <v>45298.0</v>
      </c>
      <c r="F2" s="12">
        <v>2.0</v>
      </c>
      <c r="G2" s="13">
        <v>350.0</v>
      </c>
      <c r="H2" s="13">
        <f t="shared" ref="H2:H6" si="1">F2*G2</f>
        <v>700</v>
      </c>
    </row>
    <row r="3" ht="18.0" customHeight="1">
      <c r="A3" s="14" t="s">
        <v>45</v>
      </c>
      <c r="B3" s="15" t="s">
        <v>10</v>
      </c>
      <c r="C3" s="15" t="s">
        <v>33</v>
      </c>
      <c r="D3" s="16">
        <v>45301.0</v>
      </c>
      <c r="E3" s="16">
        <v>45303.0</v>
      </c>
      <c r="F3" s="17">
        <v>5.0</v>
      </c>
      <c r="G3" s="18">
        <v>45.0</v>
      </c>
      <c r="H3" s="18">
        <f t="shared" si="1"/>
        <v>225</v>
      </c>
    </row>
    <row r="4" ht="18.0" customHeight="1">
      <c r="A4" s="9" t="s">
        <v>46</v>
      </c>
      <c r="B4" s="10" t="s">
        <v>5</v>
      </c>
      <c r="C4" s="10" t="s">
        <v>37</v>
      </c>
      <c r="D4" s="11">
        <v>45306.0</v>
      </c>
      <c r="E4" s="11">
        <v>45309.0</v>
      </c>
      <c r="F4" s="12">
        <v>1.0</v>
      </c>
      <c r="G4" s="13">
        <v>580.0</v>
      </c>
      <c r="H4" s="13">
        <f t="shared" si="1"/>
        <v>580</v>
      </c>
    </row>
    <row r="5" ht="18.0" customHeight="1">
      <c r="A5" s="14" t="s">
        <v>47</v>
      </c>
      <c r="B5" s="15" t="s">
        <v>13</v>
      </c>
      <c r="C5" s="15" t="s">
        <v>29</v>
      </c>
      <c r="D5" s="16">
        <v>45323.0</v>
      </c>
      <c r="E5" s="16">
        <v>45325.0</v>
      </c>
      <c r="F5" s="17">
        <v>3.0</v>
      </c>
      <c r="G5" s="18">
        <v>220.0</v>
      </c>
      <c r="H5" s="18">
        <f t="shared" si="1"/>
        <v>660</v>
      </c>
    </row>
    <row r="6" ht="18.0" customHeight="1">
      <c r="A6" s="9" t="s">
        <v>48</v>
      </c>
      <c r="B6" s="10" t="s">
        <v>5</v>
      </c>
      <c r="C6" s="10" t="s">
        <v>33</v>
      </c>
      <c r="D6" s="11">
        <v>45332.0</v>
      </c>
      <c r="E6" s="11">
        <v>45334.0</v>
      </c>
      <c r="F6" s="12">
        <v>10.0</v>
      </c>
      <c r="G6" s="13">
        <v>45.0</v>
      </c>
      <c r="H6" s="13">
        <f t="shared" si="1"/>
        <v>450</v>
      </c>
    </row>
    <row r="7" ht="19.5" customHeight="1">
      <c r="A7" s="19"/>
      <c r="B7" s="19"/>
      <c r="C7" s="19"/>
      <c r="D7" s="19"/>
      <c r="E7" s="19"/>
      <c r="F7" s="20">
        <f>SUM(F2:F6)</f>
        <v>21</v>
      </c>
      <c r="G7" s="21">
        <f>SUM(Table1[UnitPrice (R)])</f>
        <v>1240</v>
      </c>
      <c r="H7" s="22">
        <f>SUM(Table1[TotalAmount (R)])</f>
        <v>2615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D2:E6">
      <formula1>OR(NOT(ISERROR(DATEVALUE(D2))), AND(ISNUMBER(D2), LEFT(CELL("format", D2))="D"))</formula1>
    </dataValidation>
    <dataValidation type="custom" allowBlank="1" showDropDown="1" sqref="G2:H6">
      <formula1>AND(ISNUMBER(G2),(NOT(OR(NOT(ISERROR(DATEVALUE(G2))), AND(ISNUMBER(G2), LEFT(CELL("format", G2))="D")))))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2A4A"/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3" width="8.0"/>
    <col customWidth="1" min="4" max="4" width="14.0"/>
    <col customWidth="1" min="5" max="5" width="10.0"/>
    <col customWidth="1" min="6" max="6" width="14.0"/>
    <col customWidth="1" min="7" max="7" width="12.0"/>
    <col customWidth="1" min="8" max="26" width="8.71"/>
  </cols>
  <sheetData>
    <row r="1" ht="24.0" customHeight="1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</row>
    <row r="2" ht="18.0" customHeight="1">
      <c r="A2" s="23">
        <v>45292.0</v>
      </c>
      <c r="B2" s="24">
        <v>2024.0</v>
      </c>
      <c r="C2" s="24">
        <v>1.0</v>
      </c>
      <c r="D2" s="3" t="s">
        <v>56</v>
      </c>
      <c r="E2" s="3" t="s">
        <v>57</v>
      </c>
      <c r="F2" s="3" t="s">
        <v>58</v>
      </c>
      <c r="G2" s="3" t="s">
        <v>59</v>
      </c>
    </row>
    <row r="3" ht="18.0" customHeight="1">
      <c r="A3" s="25">
        <v>45293.0</v>
      </c>
      <c r="B3" s="26">
        <v>2024.0</v>
      </c>
      <c r="C3" s="26">
        <v>1.0</v>
      </c>
      <c r="D3" s="5" t="s">
        <v>56</v>
      </c>
      <c r="E3" s="5" t="s">
        <v>57</v>
      </c>
      <c r="F3" s="5" t="s">
        <v>60</v>
      </c>
      <c r="G3" s="5" t="s">
        <v>59</v>
      </c>
    </row>
    <row r="4" ht="18.0" customHeight="1">
      <c r="A4" s="23">
        <v>45294.0</v>
      </c>
      <c r="B4" s="24">
        <v>2024.0</v>
      </c>
      <c r="C4" s="24">
        <v>1.0</v>
      </c>
      <c r="D4" s="3" t="s">
        <v>56</v>
      </c>
      <c r="E4" s="3" t="s">
        <v>57</v>
      </c>
      <c r="F4" s="3" t="s">
        <v>61</v>
      </c>
      <c r="G4" s="3" t="s">
        <v>59</v>
      </c>
    </row>
    <row r="5" ht="18.0" customHeight="1">
      <c r="A5" s="25">
        <v>45295.0</v>
      </c>
      <c r="B5" s="26">
        <v>2024.0</v>
      </c>
      <c r="C5" s="26">
        <v>1.0</v>
      </c>
      <c r="D5" s="5" t="s">
        <v>56</v>
      </c>
      <c r="E5" s="5" t="s">
        <v>57</v>
      </c>
      <c r="F5" s="5" t="s">
        <v>62</v>
      </c>
      <c r="G5" s="5" t="s">
        <v>59</v>
      </c>
    </row>
    <row r="6" ht="18.0" customHeight="1">
      <c r="A6" s="23">
        <v>45296.0</v>
      </c>
      <c r="B6" s="24">
        <v>2024.0</v>
      </c>
      <c r="C6" s="24">
        <v>1.0</v>
      </c>
      <c r="D6" s="3" t="s">
        <v>56</v>
      </c>
      <c r="E6" s="3" t="s">
        <v>57</v>
      </c>
      <c r="F6" s="3" t="s">
        <v>63</v>
      </c>
      <c r="G6" s="3" t="s">
        <v>59</v>
      </c>
    </row>
    <row r="7" ht="18.0" customHeight="1">
      <c r="A7" s="25">
        <v>45297.0</v>
      </c>
      <c r="B7" s="26">
        <v>2024.0</v>
      </c>
      <c r="C7" s="26">
        <v>1.0</v>
      </c>
      <c r="D7" s="5" t="s">
        <v>56</v>
      </c>
      <c r="E7" s="5" t="s">
        <v>57</v>
      </c>
      <c r="F7" s="5" t="s">
        <v>64</v>
      </c>
      <c r="G7" s="5" t="s">
        <v>65</v>
      </c>
    </row>
    <row r="8" ht="18.0" customHeight="1">
      <c r="A8" s="23">
        <v>45298.0</v>
      </c>
      <c r="B8" s="24">
        <v>2024.0</v>
      </c>
      <c r="C8" s="24">
        <v>1.0</v>
      </c>
      <c r="D8" s="3" t="s">
        <v>56</v>
      </c>
      <c r="E8" s="3" t="s">
        <v>57</v>
      </c>
      <c r="F8" s="3" t="s">
        <v>66</v>
      </c>
      <c r="G8" s="3" t="s">
        <v>65</v>
      </c>
    </row>
    <row r="9" ht="18.0" customHeight="1">
      <c r="A9" s="25">
        <v>45299.0</v>
      </c>
      <c r="B9" s="26">
        <v>2024.0</v>
      </c>
      <c r="C9" s="26">
        <v>1.0</v>
      </c>
      <c r="D9" s="5" t="s">
        <v>56</v>
      </c>
      <c r="E9" s="5" t="s">
        <v>57</v>
      </c>
      <c r="F9" s="5" t="s">
        <v>58</v>
      </c>
      <c r="G9" s="5" t="s">
        <v>59</v>
      </c>
    </row>
    <row r="10" ht="18.0" customHeight="1">
      <c r="A10" s="23">
        <v>45300.0</v>
      </c>
      <c r="B10" s="24">
        <v>2024.0</v>
      </c>
      <c r="C10" s="24">
        <v>1.0</v>
      </c>
      <c r="D10" s="3" t="s">
        <v>56</v>
      </c>
      <c r="E10" s="3" t="s">
        <v>57</v>
      </c>
      <c r="F10" s="3" t="s">
        <v>60</v>
      </c>
      <c r="G10" s="3" t="s">
        <v>59</v>
      </c>
    </row>
    <row r="11" ht="18.0" customHeight="1">
      <c r="A11" s="25">
        <v>45301.0</v>
      </c>
      <c r="B11" s="26">
        <v>2024.0</v>
      </c>
      <c r="C11" s="26">
        <v>1.0</v>
      </c>
      <c r="D11" s="5" t="s">
        <v>56</v>
      </c>
      <c r="E11" s="5" t="s">
        <v>57</v>
      </c>
      <c r="F11" s="5" t="s">
        <v>61</v>
      </c>
      <c r="G11" s="5" t="s">
        <v>59</v>
      </c>
    </row>
    <row r="12" ht="18.0" customHeight="1">
      <c r="A12" s="23">
        <v>45302.0</v>
      </c>
      <c r="B12" s="24">
        <v>2024.0</v>
      </c>
      <c r="C12" s="24">
        <v>1.0</v>
      </c>
      <c r="D12" s="3" t="s">
        <v>56</v>
      </c>
      <c r="E12" s="3" t="s">
        <v>57</v>
      </c>
      <c r="F12" s="3" t="s">
        <v>62</v>
      </c>
      <c r="G12" s="3" t="s">
        <v>59</v>
      </c>
    </row>
    <row r="13" ht="18.0" customHeight="1">
      <c r="A13" s="25">
        <v>45303.0</v>
      </c>
      <c r="B13" s="26">
        <v>2024.0</v>
      </c>
      <c r="C13" s="26">
        <v>1.0</v>
      </c>
      <c r="D13" s="5" t="s">
        <v>56</v>
      </c>
      <c r="E13" s="5" t="s">
        <v>57</v>
      </c>
      <c r="F13" s="5" t="s">
        <v>63</v>
      </c>
      <c r="G13" s="5" t="s">
        <v>59</v>
      </c>
    </row>
    <row r="14" ht="18.0" customHeight="1">
      <c r="A14" s="23">
        <v>45304.0</v>
      </c>
      <c r="B14" s="24">
        <v>2024.0</v>
      </c>
      <c r="C14" s="24">
        <v>1.0</v>
      </c>
      <c r="D14" s="3" t="s">
        <v>56</v>
      </c>
      <c r="E14" s="3" t="s">
        <v>57</v>
      </c>
      <c r="F14" s="3" t="s">
        <v>64</v>
      </c>
      <c r="G14" s="3" t="s">
        <v>65</v>
      </c>
    </row>
    <row r="15" ht="18.0" customHeight="1">
      <c r="A15" s="25">
        <v>45305.0</v>
      </c>
      <c r="B15" s="26">
        <v>2024.0</v>
      </c>
      <c r="C15" s="26">
        <v>1.0</v>
      </c>
      <c r="D15" s="5" t="s">
        <v>56</v>
      </c>
      <c r="E15" s="5" t="s">
        <v>57</v>
      </c>
      <c r="F15" s="5" t="s">
        <v>66</v>
      </c>
      <c r="G15" s="5" t="s">
        <v>65</v>
      </c>
    </row>
    <row r="16" ht="18.0" customHeight="1">
      <c r="A16" s="23">
        <v>45306.0</v>
      </c>
      <c r="B16" s="24">
        <v>2024.0</v>
      </c>
      <c r="C16" s="24">
        <v>1.0</v>
      </c>
      <c r="D16" s="3" t="s">
        <v>56</v>
      </c>
      <c r="E16" s="3" t="s">
        <v>57</v>
      </c>
      <c r="F16" s="3" t="s">
        <v>58</v>
      </c>
      <c r="G16" s="3" t="s">
        <v>59</v>
      </c>
    </row>
    <row r="17" ht="18.0" customHeight="1">
      <c r="A17" s="25">
        <v>45307.0</v>
      </c>
      <c r="B17" s="26">
        <v>2024.0</v>
      </c>
      <c r="C17" s="26">
        <v>1.0</v>
      </c>
      <c r="D17" s="5" t="s">
        <v>56</v>
      </c>
      <c r="E17" s="5" t="s">
        <v>57</v>
      </c>
      <c r="F17" s="5" t="s">
        <v>60</v>
      </c>
      <c r="G17" s="5" t="s">
        <v>59</v>
      </c>
    </row>
    <row r="18" ht="18.0" customHeight="1">
      <c r="A18" s="23">
        <v>45308.0</v>
      </c>
      <c r="B18" s="24">
        <v>2024.0</v>
      </c>
      <c r="C18" s="24">
        <v>1.0</v>
      </c>
      <c r="D18" s="3" t="s">
        <v>56</v>
      </c>
      <c r="E18" s="3" t="s">
        <v>57</v>
      </c>
      <c r="F18" s="3" t="s">
        <v>61</v>
      </c>
      <c r="G18" s="3" t="s">
        <v>59</v>
      </c>
    </row>
    <row r="19" ht="18.0" customHeight="1">
      <c r="A19" s="25">
        <v>45309.0</v>
      </c>
      <c r="B19" s="26">
        <v>2024.0</v>
      </c>
      <c r="C19" s="26">
        <v>1.0</v>
      </c>
      <c r="D19" s="5" t="s">
        <v>56</v>
      </c>
      <c r="E19" s="5" t="s">
        <v>57</v>
      </c>
      <c r="F19" s="5" t="s">
        <v>62</v>
      </c>
      <c r="G19" s="5" t="s">
        <v>59</v>
      </c>
    </row>
    <row r="20" ht="18.0" customHeight="1">
      <c r="A20" s="23">
        <v>45310.0</v>
      </c>
      <c r="B20" s="24">
        <v>2024.0</v>
      </c>
      <c r="C20" s="24">
        <v>1.0</v>
      </c>
      <c r="D20" s="3" t="s">
        <v>56</v>
      </c>
      <c r="E20" s="3" t="s">
        <v>57</v>
      </c>
      <c r="F20" s="3" t="s">
        <v>63</v>
      </c>
      <c r="G20" s="3" t="s">
        <v>59</v>
      </c>
    </row>
    <row r="21" ht="18.0" customHeight="1">
      <c r="A21" s="25">
        <v>45311.0</v>
      </c>
      <c r="B21" s="26">
        <v>2024.0</v>
      </c>
      <c r="C21" s="26">
        <v>1.0</v>
      </c>
      <c r="D21" s="5" t="s">
        <v>56</v>
      </c>
      <c r="E21" s="5" t="s">
        <v>57</v>
      </c>
      <c r="F21" s="5" t="s">
        <v>64</v>
      </c>
      <c r="G21" s="5" t="s">
        <v>65</v>
      </c>
    </row>
    <row r="22" ht="18.0" customHeight="1">
      <c r="A22" s="23">
        <v>45312.0</v>
      </c>
      <c r="B22" s="24">
        <v>2024.0</v>
      </c>
      <c r="C22" s="24">
        <v>1.0</v>
      </c>
      <c r="D22" s="3" t="s">
        <v>56</v>
      </c>
      <c r="E22" s="3" t="s">
        <v>57</v>
      </c>
      <c r="F22" s="3" t="s">
        <v>66</v>
      </c>
      <c r="G22" s="3" t="s">
        <v>65</v>
      </c>
    </row>
    <row r="23" ht="18.0" customHeight="1">
      <c r="A23" s="25">
        <v>45313.0</v>
      </c>
      <c r="B23" s="26">
        <v>2024.0</v>
      </c>
      <c r="C23" s="26">
        <v>1.0</v>
      </c>
      <c r="D23" s="5" t="s">
        <v>56</v>
      </c>
      <c r="E23" s="5" t="s">
        <v>57</v>
      </c>
      <c r="F23" s="5" t="s">
        <v>58</v>
      </c>
      <c r="G23" s="5" t="s">
        <v>59</v>
      </c>
    </row>
    <row r="24" ht="18.0" customHeight="1">
      <c r="A24" s="23">
        <v>45314.0</v>
      </c>
      <c r="B24" s="24">
        <v>2024.0</v>
      </c>
      <c r="C24" s="24">
        <v>1.0</v>
      </c>
      <c r="D24" s="3" t="s">
        <v>56</v>
      </c>
      <c r="E24" s="3" t="s">
        <v>57</v>
      </c>
      <c r="F24" s="3" t="s">
        <v>60</v>
      </c>
      <c r="G24" s="3" t="s">
        <v>59</v>
      </c>
    </row>
    <row r="25" ht="18.0" customHeight="1">
      <c r="A25" s="25">
        <v>45315.0</v>
      </c>
      <c r="B25" s="26">
        <v>2024.0</v>
      </c>
      <c r="C25" s="26">
        <v>1.0</v>
      </c>
      <c r="D25" s="5" t="s">
        <v>56</v>
      </c>
      <c r="E25" s="5" t="s">
        <v>57</v>
      </c>
      <c r="F25" s="5" t="s">
        <v>61</v>
      </c>
      <c r="G25" s="5" t="s">
        <v>59</v>
      </c>
    </row>
    <row r="26" ht="18.0" customHeight="1">
      <c r="A26" s="23">
        <v>45316.0</v>
      </c>
      <c r="B26" s="24">
        <v>2024.0</v>
      </c>
      <c r="C26" s="24">
        <v>1.0</v>
      </c>
      <c r="D26" s="3" t="s">
        <v>56</v>
      </c>
      <c r="E26" s="3" t="s">
        <v>57</v>
      </c>
      <c r="F26" s="3" t="s">
        <v>62</v>
      </c>
      <c r="G26" s="3" t="s">
        <v>59</v>
      </c>
    </row>
    <row r="27" ht="18.0" customHeight="1">
      <c r="A27" s="25">
        <v>45317.0</v>
      </c>
      <c r="B27" s="26">
        <v>2024.0</v>
      </c>
      <c r="C27" s="26">
        <v>1.0</v>
      </c>
      <c r="D27" s="5" t="s">
        <v>56</v>
      </c>
      <c r="E27" s="5" t="s">
        <v>57</v>
      </c>
      <c r="F27" s="5" t="s">
        <v>63</v>
      </c>
      <c r="G27" s="5" t="s">
        <v>59</v>
      </c>
    </row>
    <row r="28" ht="18.0" customHeight="1">
      <c r="A28" s="23">
        <v>45318.0</v>
      </c>
      <c r="B28" s="24">
        <v>2024.0</v>
      </c>
      <c r="C28" s="24">
        <v>1.0</v>
      </c>
      <c r="D28" s="3" t="s">
        <v>56</v>
      </c>
      <c r="E28" s="3" t="s">
        <v>57</v>
      </c>
      <c r="F28" s="3" t="s">
        <v>64</v>
      </c>
      <c r="G28" s="3" t="s">
        <v>65</v>
      </c>
    </row>
    <row r="29" ht="18.0" customHeight="1">
      <c r="A29" s="25">
        <v>45319.0</v>
      </c>
      <c r="B29" s="26">
        <v>2024.0</v>
      </c>
      <c r="C29" s="26">
        <v>1.0</v>
      </c>
      <c r="D29" s="5" t="s">
        <v>56</v>
      </c>
      <c r="E29" s="5" t="s">
        <v>57</v>
      </c>
      <c r="F29" s="5" t="s">
        <v>66</v>
      </c>
      <c r="G29" s="5" t="s">
        <v>65</v>
      </c>
    </row>
    <row r="30" ht="18.0" customHeight="1">
      <c r="A30" s="23">
        <v>45320.0</v>
      </c>
      <c r="B30" s="24">
        <v>2024.0</v>
      </c>
      <c r="C30" s="24">
        <v>1.0</v>
      </c>
      <c r="D30" s="3" t="s">
        <v>56</v>
      </c>
      <c r="E30" s="3" t="s">
        <v>57</v>
      </c>
      <c r="F30" s="3" t="s">
        <v>58</v>
      </c>
      <c r="G30" s="3" t="s">
        <v>59</v>
      </c>
    </row>
    <row r="31" ht="18.0" customHeight="1">
      <c r="A31" s="25">
        <v>45321.0</v>
      </c>
      <c r="B31" s="26">
        <v>2024.0</v>
      </c>
      <c r="C31" s="26">
        <v>1.0</v>
      </c>
      <c r="D31" s="5" t="s">
        <v>56</v>
      </c>
      <c r="E31" s="5" t="s">
        <v>57</v>
      </c>
      <c r="F31" s="5" t="s">
        <v>60</v>
      </c>
      <c r="G31" s="5" t="s">
        <v>59</v>
      </c>
    </row>
    <row r="32" ht="18.0" customHeight="1">
      <c r="A32" s="23">
        <v>45322.0</v>
      </c>
      <c r="B32" s="24">
        <v>2024.0</v>
      </c>
      <c r="C32" s="24">
        <v>1.0</v>
      </c>
      <c r="D32" s="3" t="s">
        <v>56</v>
      </c>
      <c r="E32" s="3" t="s">
        <v>57</v>
      </c>
      <c r="F32" s="3" t="s">
        <v>61</v>
      </c>
      <c r="G32" s="3" t="s">
        <v>59</v>
      </c>
    </row>
    <row r="33" ht="18.0" customHeight="1">
      <c r="A33" s="25">
        <v>45323.0</v>
      </c>
      <c r="B33" s="26">
        <v>2024.0</v>
      </c>
      <c r="C33" s="26">
        <v>2.0</v>
      </c>
      <c r="D33" s="5" t="s">
        <v>67</v>
      </c>
      <c r="E33" s="5" t="s">
        <v>57</v>
      </c>
      <c r="F33" s="5" t="s">
        <v>62</v>
      </c>
      <c r="G33" s="5" t="s">
        <v>59</v>
      </c>
    </row>
    <row r="34" ht="18.0" customHeight="1">
      <c r="A34" s="23">
        <v>45324.0</v>
      </c>
      <c r="B34" s="24">
        <v>2024.0</v>
      </c>
      <c r="C34" s="24">
        <v>2.0</v>
      </c>
      <c r="D34" s="3" t="s">
        <v>67</v>
      </c>
      <c r="E34" s="3" t="s">
        <v>57</v>
      </c>
      <c r="F34" s="3" t="s">
        <v>63</v>
      </c>
      <c r="G34" s="3" t="s">
        <v>59</v>
      </c>
    </row>
    <row r="35" ht="18.0" customHeight="1">
      <c r="A35" s="25">
        <v>45325.0</v>
      </c>
      <c r="B35" s="26">
        <v>2024.0</v>
      </c>
      <c r="C35" s="26">
        <v>2.0</v>
      </c>
      <c r="D35" s="5" t="s">
        <v>67</v>
      </c>
      <c r="E35" s="5" t="s">
        <v>57</v>
      </c>
      <c r="F35" s="5" t="s">
        <v>64</v>
      </c>
      <c r="G35" s="5" t="s">
        <v>65</v>
      </c>
    </row>
    <row r="36" ht="18.0" customHeight="1">
      <c r="A36" s="23">
        <v>45326.0</v>
      </c>
      <c r="B36" s="24">
        <v>2024.0</v>
      </c>
      <c r="C36" s="24">
        <v>2.0</v>
      </c>
      <c r="D36" s="3" t="s">
        <v>67</v>
      </c>
      <c r="E36" s="3" t="s">
        <v>57</v>
      </c>
      <c r="F36" s="3" t="s">
        <v>66</v>
      </c>
      <c r="G36" s="3" t="s">
        <v>65</v>
      </c>
    </row>
    <row r="37" ht="18.0" customHeight="1">
      <c r="A37" s="25">
        <v>45327.0</v>
      </c>
      <c r="B37" s="26">
        <v>2024.0</v>
      </c>
      <c r="C37" s="26">
        <v>2.0</v>
      </c>
      <c r="D37" s="5" t="s">
        <v>67</v>
      </c>
      <c r="E37" s="5" t="s">
        <v>57</v>
      </c>
      <c r="F37" s="5" t="s">
        <v>58</v>
      </c>
      <c r="G37" s="5" t="s">
        <v>59</v>
      </c>
    </row>
    <row r="38" ht="18.0" customHeight="1">
      <c r="A38" s="23">
        <v>45328.0</v>
      </c>
      <c r="B38" s="24">
        <v>2024.0</v>
      </c>
      <c r="C38" s="24">
        <v>2.0</v>
      </c>
      <c r="D38" s="3" t="s">
        <v>67</v>
      </c>
      <c r="E38" s="3" t="s">
        <v>57</v>
      </c>
      <c r="F38" s="3" t="s">
        <v>60</v>
      </c>
      <c r="G38" s="3" t="s">
        <v>59</v>
      </c>
    </row>
    <row r="39" ht="18.0" customHeight="1">
      <c r="A39" s="25">
        <v>45329.0</v>
      </c>
      <c r="B39" s="26">
        <v>2024.0</v>
      </c>
      <c r="C39" s="26">
        <v>2.0</v>
      </c>
      <c r="D39" s="5" t="s">
        <v>67</v>
      </c>
      <c r="E39" s="5" t="s">
        <v>57</v>
      </c>
      <c r="F39" s="5" t="s">
        <v>61</v>
      </c>
      <c r="G39" s="5" t="s">
        <v>59</v>
      </c>
    </row>
    <row r="40" ht="18.0" customHeight="1">
      <c r="A40" s="23">
        <v>45330.0</v>
      </c>
      <c r="B40" s="24">
        <v>2024.0</v>
      </c>
      <c r="C40" s="24">
        <v>2.0</v>
      </c>
      <c r="D40" s="3" t="s">
        <v>67</v>
      </c>
      <c r="E40" s="3" t="s">
        <v>57</v>
      </c>
      <c r="F40" s="3" t="s">
        <v>62</v>
      </c>
      <c r="G40" s="3" t="s">
        <v>59</v>
      </c>
    </row>
    <row r="41" ht="18.0" customHeight="1">
      <c r="A41" s="25">
        <v>45331.0</v>
      </c>
      <c r="B41" s="26">
        <v>2024.0</v>
      </c>
      <c r="C41" s="26">
        <v>2.0</v>
      </c>
      <c r="D41" s="5" t="s">
        <v>67</v>
      </c>
      <c r="E41" s="5" t="s">
        <v>57</v>
      </c>
      <c r="F41" s="5" t="s">
        <v>63</v>
      </c>
      <c r="G41" s="5" t="s">
        <v>59</v>
      </c>
    </row>
    <row r="42" ht="18.0" customHeight="1">
      <c r="A42" s="23">
        <v>45332.0</v>
      </c>
      <c r="B42" s="24">
        <v>2024.0</v>
      </c>
      <c r="C42" s="24">
        <v>2.0</v>
      </c>
      <c r="D42" s="3" t="s">
        <v>67</v>
      </c>
      <c r="E42" s="3" t="s">
        <v>57</v>
      </c>
      <c r="F42" s="3" t="s">
        <v>64</v>
      </c>
      <c r="G42" s="3" t="s">
        <v>65</v>
      </c>
    </row>
    <row r="43" ht="18.0" customHeight="1">
      <c r="A43" s="25">
        <v>45333.0</v>
      </c>
      <c r="B43" s="26">
        <v>2024.0</v>
      </c>
      <c r="C43" s="26">
        <v>2.0</v>
      </c>
      <c r="D43" s="5" t="s">
        <v>67</v>
      </c>
      <c r="E43" s="5" t="s">
        <v>57</v>
      </c>
      <c r="F43" s="5" t="s">
        <v>66</v>
      </c>
      <c r="G43" s="5" t="s">
        <v>65</v>
      </c>
    </row>
    <row r="44" ht="18.0" customHeight="1">
      <c r="A44" s="23">
        <v>45334.0</v>
      </c>
      <c r="B44" s="24">
        <v>2024.0</v>
      </c>
      <c r="C44" s="24">
        <v>2.0</v>
      </c>
      <c r="D44" s="3" t="s">
        <v>67</v>
      </c>
      <c r="E44" s="3" t="s">
        <v>57</v>
      </c>
      <c r="F44" s="3" t="s">
        <v>58</v>
      </c>
      <c r="G44" s="3" t="s">
        <v>59</v>
      </c>
    </row>
    <row r="45" ht="18.0" customHeight="1">
      <c r="A45" s="25">
        <v>45335.0</v>
      </c>
      <c r="B45" s="26">
        <v>2024.0</v>
      </c>
      <c r="C45" s="26">
        <v>2.0</v>
      </c>
      <c r="D45" s="5" t="s">
        <v>67</v>
      </c>
      <c r="E45" s="5" t="s">
        <v>57</v>
      </c>
      <c r="F45" s="5" t="s">
        <v>60</v>
      </c>
      <c r="G45" s="5" t="s">
        <v>59</v>
      </c>
    </row>
    <row r="46" ht="18.0" customHeight="1">
      <c r="A46" s="23">
        <v>45336.0</v>
      </c>
      <c r="B46" s="24">
        <v>2024.0</v>
      </c>
      <c r="C46" s="24">
        <v>2.0</v>
      </c>
      <c r="D46" s="3" t="s">
        <v>67</v>
      </c>
      <c r="E46" s="3" t="s">
        <v>57</v>
      </c>
      <c r="F46" s="3" t="s">
        <v>61</v>
      </c>
      <c r="G46" s="3" t="s">
        <v>59</v>
      </c>
    </row>
    <row r="47" ht="18.0" customHeight="1">
      <c r="A47" s="25">
        <v>45337.0</v>
      </c>
      <c r="B47" s="26">
        <v>2024.0</v>
      </c>
      <c r="C47" s="26">
        <v>2.0</v>
      </c>
      <c r="D47" s="5" t="s">
        <v>67</v>
      </c>
      <c r="E47" s="5" t="s">
        <v>57</v>
      </c>
      <c r="F47" s="5" t="s">
        <v>62</v>
      </c>
      <c r="G47" s="5" t="s">
        <v>59</v>
      </c>
    </row>
    <row r="48" ht="18.0" customHeight="1">
      <c r="A48" s="23">
        <v>45338.0</v>
      </c>
      <c r="B48" s="24">
        <v>2024.0</v>
      </c>
      <c r="C48" s="24">
        <v>2.0</v>
      </c>
      <c r="D48" s="3" t="s">
        <v>67</v>
      </c>
      <c r="E48" s="3" t="s">
        <v>57</v>
      </c>
      <c r="F48" s="3" t="s">
        <v>63</v>
      </c>
      <c r="G48" s="3" t="s">
        <v>59</v>
      </c>
    </row>
    <row r="49" ht="18.0" customHeight="1">
      <c r="A49" s="25">
        <v>45339.0</v>
      </c>
      <c r="B49" s="26">
        <v>2024.0</v>
      </c>
      <c r="C49" s="26">
        <v>2.0</v>
      </c>
      <c r="D49" s="5" t="s">
        <v>67</v>
      </c>
      <c r="E49" s="5" t="s">
        <v>57</v>
      </c>
      <c r="F49" s="5" t="s">
        <v>64</v>
      </c>
      <c r="G49" s="5" t="s">
        <v>65</v>
      </c>
    </row>
    <row r="50" ht="18.0" customHeight="1">
      <c r="A50" s="23">
        <v>45340.0</v>
      </c>
      <c r="B50" s="24">
        <v>2024.0</v>
      </c>
      <c r="C50" s="24">
        <v>2.0</v>
      </c>
      <c r="D50" s="3" t="s">
        <v>67</v>
      </c>
      <c r="E50" s="3" t="s">
        <v>57</v>
      </c>
      <c r="F50" s="3" t="s">
        <v>66</v>
      </c>
      <c r="G50" s="3" t="s">
        <v>65</v>
      </c>
    </row>
    <row r="51" ht="18.0" customHeight="1">
      <c r="A51" s="25">
        <v>45341.0</v>
      </c>
      <c r="B51" s="26">
        <v>2024.0</v>
      </c>
      <c r="C51" s="26">
        <v>2.0</v>
      </c>
      <c r="D51" s="5" t="s">
        <v>67</v>
      </c>
      <c r="E51" s="5" t="s">
        <v>57</v>
      </c>
      <c r="F51" s="5" t="s">
        <v>58</v>
      </c>
      <c r="G51" s="5" t="s">
        <v>59</v>
      </c>
    </row>
    <row r="52" ht="18.0" customHeight="1">
      <c r="A52" s="23">
        <v>45342.0</v>
      </c>
      <c r="B52" s="24">
        <v>2024.0</v>
      </c>
      <c r="C52" s="24">
        <v>2.0</v>
      </c>
      <c r="D52" s="3" t="s">
        <v>67</v>
      </c>
      <c r="E52" s="3" t="s">
        <v>57</v>
      </c>
      <c r="F52" s="3" t="s">
        <v>60</v>
      </c>
      <c r="G52" s="3" t="s">
        <v>59</v>
      </c>
    </row>
    <row r="53" ht="18.0" customHeight="1">
      <c r="A53" s="25">
        <v>45343.0</v>
      </c>
      <c r="B53" s="26">
        <v>2024.0</v>
      </c>
      <c r="C53" s="26">
        <v>2.0</v>
      </c>
      <c r="D53" s="5" t="s">
        <v>67</v>
      </c>
      <c r="E53" s="5" t="s">
        <v>57</v>
      </c>
      <c r="F53" s="5" t="s">
        <v>61</v>
      </c>
      <c r="G53" s="5" t="s">
        <v>59</v>
      </c>
    </row>
    <row r="54" ht="18.0" customHeight="1">
      <c r="A54" s="23">
        <v>45344.0</v>
      </c>
      <c r="B54" s="24">
        <v>2024.0</v>
      </c>
      <c r="C54" s="24">
        <v>2.0</v>
      </c>
      <c r="D54" s="3" t="s">
        <v>67</v>
      </c>
      <c r="E54" s="3" t="s">
        <v>57</v>
      </c>
      <c r="F54" s="3" t="s">
        <v>62</v>
      </c>
      <c r="G54" s="3" t="s">
        <v>59</v>
      </c>
    </row>
    <row r="55" ht="18.0" customHeight="1">
      <c r="A55" s="25">
        <v>45345.0</v>
      </c>
      <c r="B55" s="26">
        <v>2024.0</v>
      </c>
      <c r="C55" s="26">
        <v>2.0</v>
      </c>
      <c r="D55" s="5" t="s">
        <v>67</v>
      </c>
      <c r="E55" s="5" t="s">
        <v>57</v>
      </c>
      <c r="F55" s="5" t="s">
        <v>63</v>
      </c>
      <c r="G55" s="5" t="s">
        <v>59</v>
      </c>
    </row>
    <row r="56" ht="18.0" customHeight="1">
      <c r="A56" s="23">
        <v>45346.0</v>
      </c>
      <c r="B56" s="24">
        <v>2024.0</v>
      </c>
      <c r="C56" s="24">
        <v>2.0</v>
      </c>
      <c r="D56" s="3" t="s">
        <v>67</v>
      </c>
      <c r="E56" s="3" t="s">
        <v>57</v>
      </c>
      <c r="F56" s="3" t="s">
        <v>64</v>
      </c>
      <c r="G56" s="3" t="s">
        <v>65</v>
      </c>
    </row>
    <row r="57" ht="18.0" customHeight="1">
      <c r="A57" s="25">
        <v>45347.0</v>
      </c>
      <c r="B57" s="26">
        <v>2024.0</v>
      </c>
      <c r="C57" s="26">
        <v>2.0</v>
      </c>
      <c r="D57" s="5" t="s">
        <v>67</v>
      </c>
      <c r="E57" s="5" t="s">
        <v>57</v>
      </c>
      <c r="F57" s="5" t="s">
        <v>66</v>
      </c>
      <c r="G57" s="5" t="s">
        <v>65</v>
      </c>
    </row>
    <row r="58" ht="18.0" customHeight="1">
      <c r="A58" s="23">
        <v>45348.0</v>
      </c>
      <c r="B58" s="24">
        <v>2024.0</v>
      </c>
      <c r="C58" s="24">
        <v>2.0</v>
      </c>
      <c r="D58" s="3" t="s">
        <v>67</v>
      </c>
      <c r="E58" s="3" t="s">
        <v>57</v>
      </c>
      <c r="F58" s="3" t="s">
        <v>58</v>
      </c>
      <c r="G58" s="3" t="s">
        <v>59</v>
      </c>
    </row>
    <row r="59" ht="18.0" customHeight="1">
      <c r="A59" s="25">
        <v>45349.0</v>
      </c>
      <c r="B59" s="26">
        <v>2024.0</v>
      </c>
      <c r="C59" s="26">
        <v>2.0</v>
      </c>
      <c r="D59" s="5" t="s">
        <v>67</v>
      </c>
      <c r="E59" s="5" t="s">
        <v>57</v>
      </c>
      <c r="F59" s="5" t="s">
        <v>60</v>
      </c>
      <c r="G59" s="5" t="s">
        <v>59</v>
      </c>
    </row>
    <row r="60" ht="18.0" customHeight="1">
      <c r="A60" s="23">
        <v>45350.0</v>
      </c>
      <c r="B60" s="24">
        <v>2024.0</v>
      </c>
      <c r="C60" s="24">
        <v>2.0</v>
      </c>
      <c r="D60" s="3" t="s">
        <v>67</v>
      </c>
      <c r="E60" s="3" t="s">
        <v>57</v>
      </c>
      <c r="F60" s="3" t="s">
        <v>61</v>
      </c>
      <c r="G60" s="3" t="s">
        <v>59</v>
      </c>
    </row>
    <row r="61" ht="18.0" customHeight="1">
      <c r="A61" s="25">
        <v>45351.0</v>
      </c>
      <c r="B61" s="26">
        <v>2024.0</v>
      </c>
      <c r="C61" s="26">
        <v>2.0</v>
      </c>
      <c r="D61" s="5" t="s">
        <v>67</v>
      </c>
      <c r="E61" s="5" t="s">
        <v>57</v>
      </c>
      <c r="F61" s="5" t="s">
        <v>62</v>
      </c>
      <c r="G61" s="5" t="s">
        <v>59</v>
      </c>
    </row>
    <row r="62" ht="18.0" customHeight="1">
      <c r="A62" s="23">
        <v>45352.0</v>
      </c>
      <c r="B62" s="24">
        <v>2024.0</v>
      </c>
      <c r="C62" s="24">
        <v>3.0</v>
      </c>
      <c r="D62" s="3" t="s">
        <v>68</v>
      </c>
      <c r="E62" s="3" t="s">
        <v>57</v>
      </c>
      <c r="F62" s="3" t="s">
        <v>63</v>
      </c>
      <c r="G62" s="3" t="s">
        <v>59</v>
      </c>
    </row>
    <row r="63" ht="18.0" customHeight="1">
      <c r="A63" s="25">
        <v>45353.0</v>
      </c>
      <c r="B63" s="26">
        <v>2024.0</v>
      </c>
      <c r="C63" s="26">
        <v>3.0</v>
      </c>
      <c r="D63" s="5" t="s">
        <v>68</v>
      </c>
      <c r="E63" s="5" t="s">
        <v>57</v>
      </c>
      <c r="F63" s="5" t="s">
        <v>64</v>
      </c>
      <c r="G63" s="5" t="s">
        <v>65</v>
      </c>
    </row>
    <row r="64" ht="18.0" customHeight="1">
      <c r="A64" s="23">
        <v>45354.0</v>
      </c>
      <c r="B64" s="24">
        <v>2024.0</v>
      </c>
      <c r="C64" s="24">
        <v>3.0</v>
      </c>
      <c r="D64" s="3" t="s">
        <v>68</v>
      </c>
      <c r="E64" s="3" t="s">
        <v>57</v>
      </c>
      <c r="F64" s="3" t="s">
        <v>66</v>
      </c>
      <c r="G64" s="3" t="s">
        <v>65</v>
      </c>
    </row>
    <row r="65" ht="18.0" customHeight="1">
      <c r="A65" s="25">
        <v>45355.0</v>
      </c>
      <c r="B65" s="26">
        <v>2024.0</v>
      </c>
      <c r="C65" s="26">
        <v>3.0</v>
      </c>
      <c r="D65" s="5" t="s">
        <v>68</v>
      </c>
      <c r="E65" s="5" t="s">
        <v>57</v>
      </c>
      <c r="F65" s="5" t="s">
        <v>58</v>
      </c>
      <c r="G65" s="5" t="s">
        <v>59</v>
      </c>
    </row>
    <row r="66" ht="18.0" customHeight="1">
      <c r="A66" s="23">
        <v>45356.0</v>
      </c>
      <c r="B66" s="24">
        <v>2024.0</v>
      </c>
      <c r="C66" s="24">
        <v>3.0</v>
      </c>
      <c r="D66" s="3" t="s">
        <v>68</v>
      </c>
      <c r="E66" s="3" t="s">
        <v>57</v>
      </c>
      <c r="F66" s="3" t="s">
        <v>60</v>
      </c>
      <c r="G66" s="3" t="s">
        <v>59</v>
      </c>
    </row>
    <row r="67" ht="18.0" customHeight="1">
      <c r="A67" s="25">
        <v>45357.0</v>
      </c>
      <c r="B67" s="26">
        <v>2024.0</v>
      </c>
      <c r="C67" s="26">
        <v>3.0</v>
      </c>
      <c r="D67" s="5" t="s">
        <v>68</v>
      </c>
      <c r="E67" s="5" t="s">
        <v>57</v>
      </c>
      <c r="F67" s="5" t="s">
        <v>61</v>
      </c>
      <c r="G67" s="5" t="s">
        <v>59</v>
      </c>
    </row>
    <row r="68" ht="18.0" customHeight="1">
      <c r="A68" s="23">
        <v>45358.0</v>
      </c>
      <c r="B68" s="24">
        <v>2024.0</v>
      </c>
      <c r="C68" s="24">
        <v>3.0</v>
      </c>
      <c r="D68" s="3" t="s">
        <v>68</v>
      </c>
      <c r="E68" s="3" t="s">
        <v>57</v>
      </c>
      <c r="F68" s="3" t="s">
        <v>62</v>
      </c>
      <c r="G68" s="3" t="s">
        <v>59</v>
      </c>
    </row>
    <row r="69" ht="18.0" customHeight="1">
      <c r="A69" s="25">
        <v>45359.0</v>
      </c>
      <c r="B69" s="26">
        <v>2024.0</v>
      </c>
      <c r="C69" s="26">
        <v>3.0</v>
      </c>
      <c r="D69" s="5" t="s">
        <v>68</v>
      </c>
      <c r="E69" s="5" t="s">
        <v>57</v>
      </c>
      <c r="F69" s="5" t="s">
        <v>63</v>
      </c>
      <c r="G69" s="5" t="s">
        <v>59</v>
      </c>
    </row>
    <row r="70" ht="18.0" customHeight="1">
      <c r="A70" s="23">
        <v>45360.0</v>
      </c>
      <c r="B70" s="24">
        <v>2024.0</v>
      </c>
      <c r="C70" s="24">
        <v>3.0</v>
      </c>
      <c r="D70" s="3" t="s">
        <v>68</v>
      </c>
      <c r="E70" s="3" t="s">
        <v>57</v>
      </c>
      <c r="F70" s="3" t="s">
        <v>64</v>
      </c>
      <c r="G70" s="3" t="s">
        <v>65</v>
      </c>
    </row>
    <row r="71" ht="18.0" customHeight="1">
      <c r="A71" s="25">
        <v>45361.0</v>
      </c>
      <c r="B71" s="26">
        <v>2024.0</v>
      </c>
      <c r="C71" s="26">
        <v>3.0</v>
      </c>
      <c r="D71" s="5" t="s">
        <v>68</v>
      </c>
      <c r="E71" s="5" t="s">
        <v>57</v>
      </c>
      <c r="F71" s="5" t="s">
        <v>66</v>
      </c>
      <c r="G71" s="5" t="s">
        <v>65</v>
      </c>
    </row>
    <row r="72" ht="18.0" customHeight="1">
      <c r="A72" s="23">
        <v>45362.0</v>
      </c>
      <c r="B72" s="24">
        <v>2024.0</v>
      </c>
      <c r="C72" s="24">
        <v>3.0</v>
      </c>
      <c r="D72" s="3" t="s">
        <v>68</v>
      </c>
      <c r="E72" s="3" t="s">
        <v>57</v>
      </c>
      <c r="F72" s="3" t="s">
        <v>58</v>
      </c>
      <c r="G72" s="3" t="s">
        <v>59</v>
      </c>
    </row>
    <row r="73" ht="18.0" customHeight="1">
      <c r="A73" s="25">
        <v>45363.0</v>
      </c>
      <c r="B73" s="26">
        <v>2024.0</v>
      </c>
      <c r="C73" s="26">
        <v>3.0</v>
      </c>
      <c r="D73" s="5" t="s">
        <v>68</v>
      </c>
      <c r="E73" s="5" t="s">
        <v>57</v>
      </c>
      <c r="F73" s="5" t="s">
        <v>60</v>
      </c>
      <c r="G73" s="5" t="s">
        <v>59</v>
      </c>
    </row>
    <row r="74" ht="18.0" customHeight="1">
      <c r="A74" s="23">
        <v>45364.0</v>
      </c>
      <c r="B74" s="24">
        <v>2024.0</v>
      </c>
      <c r="C74" s="24">
        <v>3.0</v>
      </c>
      <c r="D74" s="3" t="s">
        <v>68</v>
      </c>
      <c r="E74" s="3" t="s">
        <v>57</v>
      </c>
      <c r="F74" s="3" t="s">
        <v>61</v>
      </c>
      <c r="G74" s="3" t="s">
        <v>59</v>
      </c>
    </row>
    <row r="75" ht="18.0" customHeight="1">
      <c r="A75" s="25">
        <v>45365.0</v>
      </c>
      <c r="B75" s="26">
        <v>2024.0</v>
      </c>
      <c r="C75" s="26">
        <v>3.0</v>
      </c>
      <c r="D75" s="5" t="s">
        <v>68</v>
      </c>
      <c r="E75" s="5" t="s">
        <v>57</v>
      </c>
      <c r="F75" s="5" t="s">
        <v>62</v>
      </c>
      <c r="G75" s="5" t="s">
        <v>59</v>
      </c>
    </row>
    <row r="76" ht="18.0" customHeight="1">
      <c r="A76" s="23">
        <v>45366.0</v>
      </c>
      <c r="B76" s="24">
        <v>2024.0</v>
      </c>
      <c r="C76" s="24">
        <v>3.0</v>
      </c>
      <c r="D76" s="3" t="s">
        <v>68</v>
      </c>
      <c r="E76" s="3" t="s">
        <v>57</v>
      </c>
      <c r="F76" s="3" t="s">
        <v>63</v>
      </c>
      <c r="G76" s="3" t="s">
        <v>59</v>
      </c>
    </row>
    <row r="77" ht="18.0" customHeight="1">
      <c r="A77" s="25">
        <v>45367.0</v>
      </c>
      <c r="B77" s="26">
        <v>2024.0</v>
      </c>
      <c r="C77" s="26">
        <v>3.0</v>
      </c>
      <c r="D77" s="5" t="s">
        <v>68</v>
      </c>
      <c r="E77" s="5" t="s">
        <v>57</v>
      </c>
      <c r="F77" s="5" t="s">
        <v>64</v>
      </c>
      <c r="G77" s="5" t="s">
        <v>65</v>
      </c>
    </row>
    <row r="78" ht="18.0" customHeight="1">
      <c r="A78" s="23">
        <v>45368.0</v>
      </c>
      <c r="B78" s="24">
        <v>2024.0</v>
      </c>
      <c r="C78" s="24">
        <v>3.0</v>
      </c>
      <c r="D78" s="3" t="s">
        <v>68</v>
      </c>
      <c r="E78" s="3" t="s">
        <v>57</v>
      </c>
      <c r="F78" s="3" t="s">
        <v>66</v>
      </c>
      <c r="G78" s="3" t="s">
        <v>65</v>
      </c>
    </row>
    <row r="79" ht="18.0" customHeight="1">
      <c r="A79" s="25">
        <v>45369.0</v>
      </c>
      <c r="B79" s="26">
        <v>2024.0</v>
      </c>
      <c r="C79" s="26">
        <v>3.0</v>
      </c>
      <c r="D79" s="5" t="s">
        <v>68</v>
      </c>
      <c r="E79" s="5" t="s">
        <v>57</v>
      </c>
      <c r="F79" s="5" t="s">
        <v>58</v>
      </c>
      <c r="G79" s="5" t="s">
        <v>59</v>
      </c>
    </row>
    <row r="80" ht="18.0" customHeight="1">
      <c r="A80" s="23">
        <v>45370.0</v>
      </c>
      <c r="B80" s="24">
        <v>2024.0</v>
      </c>
      <c r="C80" s="24">
        <v>3.0</v>
      </c>
      <c r="D80" s="3" t="s">
        <v>68</v>
      </c>
      <c r="E80" s="3" t="s">
        <v>57</v>
      </c>
      <c r="F80" s="3" t="s">
        <v>60</v>
      </c>
      <c r="G80" s="3" t="s">
        <v>59</v>
      </c>
    </row>
    <row r="81" ht="18.0" customHeight="1">
      <c r="A81" s="25">
        <v>45371.0</v>
      </c>
      <c r="B81" s="26">
        <v>2024.0</v>
      </c>
      <c r="C81" s="26">
        <v>3.0</v>
      </c>
      <c r="D81" s="5" t="s">
        <v>68</v>
      </c>
      <c r="E81" s="5" t="s">
        <v>57</v>
      </c>
      <c r="F81" s="5" t="s">
        <v>61</v>
      </c>
      <c r="G81" s="5" t="s">
        <v>59</v>
      </c>
    </row>
    <row r="82" ht="18.0" customHeight="1">
      <c r="A82" s="23">
        <v>45372.0</v>
      </c>
      <c r="B82" s="24">
        <v>2024.0</v>
      </c>
      <c r="C82" s="24">
        <v>3.0</v>
      </c>
      <c r="D82" s="3" t="s">
        <v>68</v>
      </c>
      <c r="E82" s="3" t="s">
        <v>57</v>
      </c>
      <c r="F82" s="3" t="s">
        <v>62</v>
      </c>
      <c r="G82" s="3" t="s">
        <v>59</v>
      </c>
    </row>
    <row r="83" ht="18.0" customHeight="1">
      <c r="A83" s="25">
        <v>45373.0</v>
      </c>
      <c r="B83" s="26">
        <v>2024.0</v>
      </c>
      <c r="C83" s="26">
        <v>3.0</v>
      </c>
      <c r="D83" s="5" t="s">
        <v>68</v>
      </c>
      <c r="E83" s="5" t="s">
        <v>57</v>
      </c>
      <c r="F83" s="5" t="s">
        <v>63</v>
      </c>
      <c r="G83" s="5" t="s">
        <v>59</v>
      </c>
    </row>
    <row r="84" ht="18.0" customHeight="1">
      <c r="A84" s="23">
        <v>45374.0</v>
      </c>
      <c r="B84" s="24">
        <v>2024.0</v>
      </c>
      <c r="C84" s="24">
        <v>3.0</v>
      </c>
      <c r="D84" s="3" t="s">
        <v>68</v>
      </c>
      <c r="E84" s="3" t="s">
        <v>57</v>
      </c>
      <c r="F84" s="3" t="s">
        <v>64</v>
      </c>
      <c r="G84" s="3" t="s">
        <v>65</v>
      </c>
    </row>
    <row r="85" ht="18.0" customHeight="1">
      <c r="A85" s="25">
        <v>45375.0</v>
      </c>
      <c r="B85" s="26">
        <v>2024.0</v>
      </c>
      <c r="C85" s="26">
        <v>3.0</v>
      </c>
      <c r="D85" s="5" t="s">
        <v>68</v>
      </c>
      <c r="E85" s="5" t="s">
        <v>57</v>
      </c>
      <c r="F85" s="5" t="s">
        <v>66</v>
      </c>
      <c r="G85" s="5" t="s">
        <v>65</v>
      </c>
    </row>
    <row r="86" ht="18.0" customHeight="1">
      <c r="A86" s="23">
        <v>45376.0</v>
      </c>
      <c r="B86" s="24">
        <v>2024.0</v>
      </c>
      <c r="C86" s="24">
        <v>3.0</v>
      </c>
      <c r="D86" s="3" t="s">
        <v>68</v>
      </c>
      <c r="E86" s="3" t="s">
        <v>57</v>
      </c>
      <c r="F86" s="3" t="s">
        <v>58</v>
      </c>
      <c r="G86" s="3" t="s">
        <v>59</v>
      </c>
    </row>
    <row r="87" ht="18.0" customHeight="1">
      <c r="A87" s="25">
        <v>45377.0</v>
      </c>
      <c r="B87" s="26">
        <v>2024.0</v>
      </c>
      <c r="C87" s="26">
        <v>3.0</v>
      </c>
      <c r="D87" s="5" t="s">
        <v>68</v>
      </c>
      <c r="E87" s="5" t="s">
        <v>57</v>
      </c>
      <c r="F87" s="5" t="s">
        <v>60</v>
      </c>
      <c r="G87" s="5" t="s">
        <v>59</v>
      </c>
    </row>
    <row r="88" ht="18.0" customHeight="1">
      <c r="A88" s="23">
        <v>45378.0</v>
      </c>
      <c r="B88" s="24">
        <v>2024.0</v>
      </c>
      <c r="C88" s="24">
        <v>3.0</v>
      </c>
      <c r="D88" s="3" t="s">
        <v>68</v>
      </c>
      <c r="E88" s="3" t="s">
        <v>57</v>
      </c>
      <c r="F88" s="3" t="s">
        <v>61</v>
      </c>
      <c r="G88" s="3" t="s">
        <v>59</v>
      </c>
    </row>
    <row r="89" ht="18.0" customHeight="1">
      <c r="A89" s="25">
        <v>45379.0</v>
      </c>
      <c r="B89" s="26">
        <v>2024.0</v>
      </c>
      <c r="C89" s="26">
        <v>3.0</v>
      </c>
      <c r="D89" s="5" t="s">
        <v>68</v>
      </c>
      <c r="E89" s="5" t="s">
        <v>57</v>
      </c>
      <c r="F89" s="5" t="s">
        <v>62</v>
      </c>
      <c r="G89" s="5" t="s">
        <v>59</v>
      </c>
    </row>
    <row r="90" ht="18.0" customHeight="1">
      <c r="A90" s="23">
        <v>45380.0</v>
      </c>
      <c r="B90" s="24">
        <v>2024.0</v>
      </c>
      <c r="C90" s="24">
        <v>3.0</v>
      </c>
      <c r="D90" s="3" t="s">
        <v>68</v>
      </c>
      <c r="E90" s="3" t="s">
        <v>57</v>
      </c>
      <c r="F90" s="3" t="s">
        <v>63</v>
      </c>
      <c r="G90" s="3" t="s">
        <v>59</v>
      </c>
    </row>
    <row r="91" ht="18.0" customHeight="1">
      <c r="A91" s="25">
        <v>45381.0</v>
      </c>
      <c r="B91" s="26">
        <v>2024.0</v>
      </c>
      <c r="C91" s="26">
        <v>3.0</v>
      </c>
      <c r="D91" s="5" t="s">
        <v>68</v>
      </c>
      <c r="E91" s="5" t="s">
        <v>57</v>
      </c>
      <c r="F91" s="5" t="s">
        <v>64</v>
      </c>
      <c r="G91" s="5" t="s">
        <v>65</v>
      </c>
    </row>
    <row r="92" ht="18.0" customHeight="1">
      <c r="A92" s="23">
        <v>45382.0</v>
      </c>
      <c r="B92" s="24">
        <v>2024.0</v>
      </c>
      <c r="C92" s="24">
        <v>3.0</v>
      </c>
      <c r="D92" s="3" t="s">
        <v>68</v>
      </c>
      <c r="E92" s="3" t="s">
        <v>57</v>
      </c>
      <c r="F92" s="3" t="s">
        <v>66</v>
      </c>
      <c r="G92" s="3" t="s">
        <v>65</v>
      </c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B0000"/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0.0"/>
    <col customWidth="1" min="3" max="3" width="14.0"/>
    <col customWidth="1" min="4" max="4" width="24.0"/>
    <col customWidth="1" min="5" max="5" width="18.0"/>
    <col customWidth="1" min="6" max="26" width="8.71"/>
  </cols>
  <sheetData>
    <row r="1" ht="24.0" customHeight="1">
      <c r="A1" s="27" t="s">
        <v>69</v>
      </c>
      <c r="B1" s="27" t="s">
        <v>39</v>
      </c>
      <c r="C1" s="27" t="s">
        <v>70</v>
      </c>
      <c r="D1" s="27" t="s">
        <v>71</v>
      </c>
      <c r="E1" s="27" t="s">
        <v>72</v>
      </c>
    </row>
    <row r="2" ht="18.0" customHeight="1">
      <c r="A2" s="2" t="s">
        <v>73</v>
      </c>
      <c r="B2" s="3" t="s">
        <v>45</v>
      </c>
      <c r="C2" s="28">
        <v>45306.0</v>
      </c>
      <c r="D2" s="3" t="s">
        <v>74</v>
      </c>
      <c r="E2" s="6">
        <v>225.0</v>
      </c>
    </row>
    <row r="3" ht="18.0" customHeight="1">
      <c r="A3" s="4" t="s">
        <v>75</v>
      </c>
      <c r="B3" s="5" t="s">
        <v>47</v>
      </c>
      <c r="C3" s="29">
        <v>45332.0</v>
      </c>
      <c r="D3" s="5" t="s">
        <v>76</v>
      </c>
      <c r="E3" s="7">
        <v>220.0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0A500"/>
    <pageSetUpPr/>
  </sheetPr>
  <sheetViews>
    <sheetView workbookViewId="0"/>
  </sheetViews>
  <sheetFormatPr customHeight="1" defaultColWidth="14.43" defaultRowHeight="15.0"/>
  <cols>
    <col customWidth="1" min="1" max="1" width="43.86"/>
    <col customWidth="1" min="2" max="2" width="76.14"/>
    <col customWidth="1" min="3" max="26" width="8.71"/>
  </cols>
  <sheetData>
    <row r="1">
      <c r="A1" s="30" t="s">
        <v>77</v>
      </c>
      <c r="B1" s="31" t="s">
        <v>78</v>
      </c>
    </row>
    <row r="3">
      <c r="A3" s="32" t="s">
        <v>79</v>
      </c>
      <c r="B3" s="32" t="s">
        <v>80</v>
      </c>
    </row>
    <row r="4">
      <c r="A4" s="33" t="s">
        <v>81</v>
      </c>
      <c r="B4" s="33" t="s">
        <v>82</v>
      </c>
    </row>
    <row r="5">
      <c r="A5" s="34" t="s">
        <v>83</v>
      </c>
      <c r="B5" s="34" t="s">
        <v>84</v>
      </c>
    </row>
    <row r="6">
      <c r="A6" s="33" t="s">
        <v>85</v>
      </c>
      <c r="B6" s="33" t="s">
        <v>86</v>
      </c>
    </row>
    <row r="7">
      <c r="A7" s="34" t="s">
        <v>87</v>
      </c>
      <c r="B7" s="34" t="s">
        <v>88</v>
      </c>
    </row>
    <row r="8">
      <c r="A8" s="33" t="s">
        <v>89</v>
      </c>
      <c r="B8" s="33" t="s">
        <v>90</v>
      </c>
    </row>
    <row r="10">
      <c r="A10" s="32" t="s">
        <v>91</v>
      </c>
      <c r="B10" s="32"/>
    </row>
    <row r="11">
      <c r="A11" s="34" t="s">
        <v>92</v>
      </c>
      <c r="B11" s="34" t="s">
        <v>93</v>
      </c>
    </row>
    <row r="12">
      <c r="A12" s="33" t="s">
        <v>94</v>
      </c>
      <c r="B12" s="33" t="s">
        <v>93</v>
      </c>
    </row>
    <row r="13">
      <c r="A13" s="34" t="s">
        <v>95</v>
      </c>
      <c r="B13" s="34" t="s">
        <v>96</v>
      </c>
    </row>
    <row r="14">
      <c r="A14" s="33" t="s">
        <v>97</v>
      </c>
      <c r="B14" s="33" t="s">
        <v>98</v>
      </c>
    </row>
    <row r="15">
      <c r="A15" s="34" t="s">
        <v>99</v>
      </c>
      <c r="B15" s="34" t="s">
        <v>93</v>
      </c>
    </row>
    <row r="17">
      <c r="A17" s="32" t="s">
        <v>100</v>
      </c>
      <c r="B17" s="32"/>
    </row>
    <row r="18">
      <c r="A18" s="33" t="s">
        <v>101</v>
      </c>
      <c r="B18" s="33" t="s">
        <v>102</v>
      </c>
    </row>
    <row r="20">
      <c r="A20" s="32" t="s">
        <v>103</v>
      </c>
      <c r="B20" s="32"/>
    </row>
    <row r="21">
      <c r="A21" s="34" t="s">
        <v>104</v>
      </c>
      <c r="B21" s="34" t="s">
        <v>105</v>
      </c>
    </row>
    <row r="22">
      <c r="A22" s="33" t="s">
        <v>106</v>
      </c>
      <c r="B22" s="33" t="s">
        <v>107</v>
      </c>
    </row>
    <row r="23">
      <c r="A23" s="34" t="s">
        <v>108</v>
      </c>
      <c r="B23" s="34" t="s">
        <v>109</v>
      </c>
    </row>
    <row r="24">
      <c r="A24" s="33" t="s">
        <v>110</v>
      </c>
      <c r="B24" s="33" t="s">
        <v>111</v>
      </c>
    </row>
    <row r="25">
      <c r="A25" s="34" t="s">
        <v>112</v>
      </c>
      <c r="B25" s="34" t="s">
        <v>113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2026-03-30T05:06:33Z</dcterms:created>
  <dc:creator>openpyxl</dc:creator>
</cp:coreProperties>
</file>